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2e422c836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budget" sheetId="1" r:id="R51a2ef809192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(#,##0);&quot;-&quot;"/>
    <x:numFmt numFmtId="201" formatCode="0"/>
    <x:numFmt numFmtId="202" formatCode="0.0"/>
    <x:numFmt numFmtId="203" formatCode="0.0%"/>
  </x:numFmts>
  <x:fonts count="8">
    <x:font>
      <x:sz val="11"/>
      <x:name val="Carlito"/>
    </x:font>
    <x:font>
      <x:sz val="10"/>
      <x:color rgb="FF222E2B"/>
      <x:name val="Noto Sans"/>
    </x:font>
    <x:font>
      <x:b/>
      <x:sz val="15"/>
      <x:color rgb="FF173C33"/>
      <x:name val="Noto Sans"/>
    </x:font>
    <x:font>
      <x:sz val="10"/>
      <x:color rgb="FF000000"/>
      <x:name val="Noto Sans"/>
    </x:font>
    <x:font>
      <x:b/>
      <x:sz val="10"/>
      <x:color rgb="FF000000"/>
      <x:name val="Noto Sans"/>
    </x:font>
    <x:font>
      <x:b/>
      <x:sz val="10"/>
      <x:color rgb="FF222E2B"/>
      <x:name val="Noto Sans"/>
    </x:font>
    <x:font>
      <x:sz val="10"/>
      <x:color rgb="FF0000FF"/>
      <x:name val="Noto Sans"/>
    </x:font>
    <x:font>
      <x:b/>
      <x:sz val="10"/>
      <x:color rgb="FFFFFFFF"/>
      <x:name val="Noto Sans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C33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73C33"/>
      </x:bottom>
      <x:diagonal/>
    </x:border>
    <x:border>
      <x:left/>
      <x:right/>
      <x:top style="thin">
        <x:color rgb="FF81948B"/>
      </x:top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201" fontId="6" fillId="2" borderId="0" xfId="0" applyNumberFormat="1" applyFont="1" applyFill="1" applyBorder="1" applyAlignment="1">
      <x:alignment vertical="center"/>
    </x:xf>
    <x:xf numFmtId="202" fontId="6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horizontal="center" vertical="center"/>
    </x:xf>
    <x:xf numFmtId="200" fontId="6" fillId="2" borderId="0" xfId="0" applyNumberFormat="1" applyFont="1" applyFill="1" applyBorder="1" applyAlignment="1">
      <x:alignment vertical="center"/>
    </x:xf>
    <x:xf numFmtId="203" fontId="6" fillId="2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right" vertical="center"/>
    </x:xf>
    <x:xf numFmtId="201" fontId="6" fillId="2" borderId="0" xfId="0" applyNumberFormat="1" applyFont="1" applyFill="1" applyBorder="1" applyAlignment="1">
      <x:alignment horizontal="right" vertical="center"/>
    </x:xf>
    <x:xf numFmtId="202" fontId="6" fillId="2" borderId="0" xfId="0" applyNumberFormat="1" applyFont="1" applyFill="1" applyBorder="1" applyAlignment="1">
      <x:alignment horizontal="right" vertical="center"/>
    </x:xf>
    <x:xf numFmtId="0" fontId="7" fillId="3" borderId="0" xfId="0" applyNumberFormat="1" applyFont="1" applyFill="1" applyBorder="1" applyAlignment="1">
      <x:alignment horizontal="right" vertical="center"/>
    </x:xf>
    <x:xf numFmtId="200" fontId="6" fillId="2" borderId="0" xfId="0" applyNumberFormat="1" applyFont="1" applyFill="1" applyBorder="1" applyAlignment="1">
      <x:alignment horizontal="right" vertical="center"/>
    </x:xf>
    <x:xf numFmtId="200" fontId="3" fillId="0" borderId="0" xfId="0" applyNumberFormat="1" applyFont="1" applyFill="1" applyBorder="1" applyAlignment="1">
      <x:alignment horizontal="right" vertical="center"/>
    </x:xf>
    <x:xf numFmtId="0" fontId="5" fillId="0" borderId="2" xfId="0" applyNumberFormat="1" applyFont="1" applyFill="1" applyBorder="1" applyAlignment="1">
      <x:alignment horizontal="right" vertical="center"/>
    </x:xf>
    <x:xf numFmtId="200" fontId="4" fillId="0" borderId="2" xfId="0" applyNumberFormat="1" applyFont="1" applyFill="1" applyBorder="1" applyAlignment="1">
      <x:alignment horizontal="right" vertical="center"/>
    </x:xf>
    <x:xf numFmtId="203" fontId="6" fillId="2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05c72c2444b9f" /><Relationship Type="http://schemas.openxmlformats.org/officeDocument/2006/relationships/theme" Target="/xl/theme/theme1.xml" Id="Rb50026f710444c30" /><Relationship Type="http://schemas.openxmlformats.org/officeDocument/2006/relationships/sharedStrings" Target="/xl/sharedStrings.xml" Id="Rb679e7665ec9427e" /><Relationship Type="http://schemas.openxmlformats.org/officeDocument/2006/relationships/worksheet" Target="/xl/worksheets/sheet1.xml" Id="R51a2ef80919243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C33"/>
  </x:sheetPr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18" hidden="0" customWidth="1"/>
    <x:col min="4" max="4" width="20" hidden="0" customWidth="1"/>
    <x:col min="5" max="5" width="3" hidden="0" customWidth="1"/>
    <x:col min="6" max="6" width="65" hidden="0" customWidth="1"/>
  </x:cols>
  <x:sheetData>
    <x:row r="1" ht="24" customHeight="1">
      <x:c r="A1" s="2"/>
      <x:c r="B1" s="20"/>
      <x:c r="C1" s="20"/>
      <x:c r="D1" s="20"/>
      <x:c r="E1" s="2"/>
      <x:c r="F1" s="2"/>
    </x:row>
    <x:row r="2" ht="24" customHeight="1">
      <x:c r="A2" s="3" t="str">
        <x:v>Illustrative pilot budget</x:v>
      </x:c>
      <x:c r="B2" s="20"/>
      <x:c r="C2" s="20"/>
      <x:c r="D2" s="20"/>
      <x:c r="E2" s="2"/>
      <x:c r="F2" s="2" t="str">
        <x:v>17 Oct 2026. INR. One proposed cluster.</x:v>
      </x:c>
    </x:row>
    <x:row r="3" ht="24" customHeight="1">
      <x:c r="A3" s="4"/>
      <x:c r="B3" s="21"/>
      <x:c r="C3" s="21"/>
      <x:c r="D3" s="21"/>
      <x:c r="E3" s="2"/>
      <x:c r="F3" s="2" t="str">
        <x:v>Planning assumptions throughout; no quotations or commitments.</x:v>
      </x:c>
    </x:row>
    <x:row r="4" ht="24" customHeight="1">
      <x:c r="A4" s="2"/>
      <x:c r="B4" s="20"/>
      <x:c r="C4" s="20"/>
      <x:c r="D4" s="20"/>
      <x:c r="E4" s="2"/>
      <x:c r="F4" s="2" t="str">
        <x:v>Excludes repairs, construction and production integration.</x:v>
      </x:c>
    </x:row>
    <x:row r="5" ht="24" customHeight="1">
      <x:c r="A5" s="2" t="str">
        <x:v>Trial budget (INR)</x:v>
      </x:c>
      <x:c r="B5" s="22" t="n">
        <x:f>D34</x:f>
        <x:v>132000</x:v>
      </x:c>
      <x:c r="C5" s="20"/>
      <x:c r="D5" s="20"/>
      <x:c r="E5" s="2"/>
      <x:c r="F5" s="2" t="str">
        <x:v>Blue text / amber fill: editable assumptions or missing inputs.</x:v>
      </x:c>
    </x:row>
    <x:row r="6" ht="24" customHeight="1">
      <x:c r="A6" s="2" t="str">
        <x:v>Annual continuation (INR)</x:v>
      </x:c>
      <x:c r="B6" s="22" t="n">
        <x:f>D46</x:f>
        <x:v>162360</x:v>
      </x:c>
      <x:c r="C6" s="20"/>
      <x:c r="D6" s="20"/>
      <x:c r="E6" s="2"/>
      <x:c r="F6" s="2" t="str">
        <x:v>Black text: calculations. Household benefits remain unverified.</x:v>
      </x:c>
    </x:row>
    <x:row r="7" ht="24" customHeight="1">
      <x:c r="A7" s="2" t="str">
        <x:v>Trial cost per verified household (INR)</x:v>
      </x:c>
      <x:c r="B7" s="22" t="str">
        <x:f>IF(AND(ISNUMBER(B14),B14&gt;0),B5/B14,"n.a.")</x:f>
        <x:v>n.a.</x:v>
      </x:c>
      <x:c r="C7" s="20"/>
      <x:c r="D7" s="20"/>
      <x:c r="E7" s="2"/>
      <x:c r="F7" s="2"/>
    </x:row>
    <x:row r="8" ht="24" customHeight="1">
      <x:c r="A8" s="2" t="str">
        <x:v>Cost per planned asset scope (INR)</x:v>
      </x:c>
      <x:c r="B8" s="22" t="n">
        <x:f>IF(AND(ISNUMBER(B13),B13&gt;0),B5/B13,"n.a.")</x:f>
        <x:v>6600</x:v>
      </x:c>
      <x:c r="C8" s="20"/>
      <x:c r="D8" s="20"/>
      <x:c r="E8" s="2"/>
      <x:c r="F8" s="2" t="str">
        <x:v>Planned assets are not repairs completed or beneficiaries.</x:v>
      </x:c>
    </x:row>
    <x:row r="9" ht="24" customHeight="1">
      <x:c r="A9" s="2" t="str">
        <x:v>Annual measured staff-time value (INR)</x:v>
      </x:c>
      <x:c r="B9" s="22" t="str">
        <x:f>IF(AND(COUNT(B15:B17)=3,MIN(B15:B17)&gt;=0),B15*B16*12*B17/60,"n.a.")</x:f>
        <x:v>n.a.</x:v>
      </x:c>
      <x:c r="C9" s="20"/>
      <x:c r="D9" s="20"/>
      <x:c r="E9" s="2"/>
      <x:c r="F9" s="2" t="str">
        <x:v>Time value is not cash saving unless a budget changes.</x:v>
      </x:c>
    </x:row>
    <x:row r="10" ht="24" customHeight="1">
      <x:c r="A10" s="2" t="str">
        <x:v>Staff-time value less continuation (INR)</x:v>
      </x:c>
      <x:c r="B10" s="22" t="str">
        <x:f>IF(ISNUMBER(B9),B9-B6,"n.a.")</x:f>
        <x:v>n.a.</x:v>
      </x:c>
      <x:c r="C10" s="20"/>
      <x:c r="D10" s="20"/>
      <x:c r="E10" s="2"/>
      <x:c r="F10" s="2" t="str">
        <x:v>No health benefit, SROI or causal service impact is calculated.</x:v>
      </x:c>
    </x:row>
    <x:row r="11" ht="24" customHeight="1">
      <x:c r="A11" s="2"/>
      <x:c r="B11" s="20"/>
      <x:c r="C11" s="20"/>
      <x:c r="D11" s="20"/>
      <x:c r="E11" s="2"/>
      <x:c r="F11" s="2"/>
    </x:row>
    <x:row r="12" ht="24" customHeight="1">
      <x:c r="A12" s="8" t="str">
        <x:v>Scope and missing measured inputs</x:v>
      </x:c>
      <x:c r="B12" s="23"/>
      <x:c r="C12" s="23"/>
      <x:c r="D12" s="23"/>
      <x:c r="E12" s="2"/>
      <x:c r="F12" s="2"/>
    </x:row>
    <x:row r="13" ht="24" customHeight="1">
      <x:c r="A13" s="2" t="str">
        <x:v>Planned public assets</x:v>
      </x:c>
      <x:c r="B13" s="24" t="n">
        <x:v>20</x:v>
      </x:c>
      <x:c r="C13" s="20"/>
      <x:c r="D13" s="20"/>
      <x:c r="E13" s="2"/>
      <x:c r="F13" s="2" t="str">
        <x:v>20 assets and 60 observations are proposed trial targets.</x:v>
      </x:c>
    </x:row>
    <x:row r="14" ht="24" customHeight="1">
      <x:c r="A14" s="2" t="str">
        <x:v>Verified benefiting households</x:v>
      </x:c>
      <x:c r="B14" s="24"/>
      <x:c r="C14" s="20"/>
      <x:c r="D14" s="20"/>
      <x:c r="E14" s="2"/>
      <x:c r="F14" s="2" t="str">
        <x:v>Blank: no household denominator acquired. Keep n.a.</x:v>
      </x:c>
    </x:row>
    <x:row r="15" ht="24" customHeight="1">
      <x:c r="A15" s="2" t="str">
        <x:v>Measured minutes saved / review</x:v>
      </x:c>
      <x:c r="B15" s="24"/>
      <x:c r="C15" s="20"/>
      <x:c r="D15" s="20"/>
      <x:c r="E15" s="2"/>
      <x:c r="F15" s="2" t="str">
        <x:v>Populate only after a valid paired workflow comparison.</x:v>
      </x:c>
    </x:row>
    <x:row r="16" ht="24" customHeight="1">
      <x:c r="A16" s="2" t="str">
        <x:v>Actual reviews / month</x:v>
      </x:c>
      <x:c r="B16" s="24"/>
      <x:c r="C16" s="20"/>
      <x:c r="D16" s="20"/>
      <x:c r="E16" s="2"/>
      <x:c r="F16" s="2" t="str">
        <x:v>Zero is permitted. Blank means unknown, not zero.</x:v>
      </x:c>
    </x:row>
    <x:row r="17" ht="24" customHeight="1">
      <x:c r="A17" s="2" t="str">
        <x:v>Applicable staff cost (INR/hour)</x:v>
      </x:c>
      <x:c r="B17" s="24"/>
      <x:c r="C17" s="20"/>
      <x:c r="D17" s="20"/>
      <x:c r="E17" s="2"/>
      <x:c r="F17" s="2" t="str">
        <x:v>Use an approved matching cost basis; avoid double-counting.</x:v>
      </x:c>
    </x:row>
    <x:row r="18" ht="24" customHeight="1">
      <x:c r="A18" s="2"/>
      <x:c r="B18" s="20"/>
      <x:c r="C18" s="20"/>
      <x:c r="D18" s="20"/>
      <x:c r="E18" s="2"/>
      <x:c r="F18" s="2"/>
    </x:row>
    <x:row r="19" ht="24" customHeight="1">
      <x:c r="A19" s="2"/>
      <x:c r="B19" s="20"/>
      <x:c r="C19" s="20"/>
      <x:c r="D19" s="20"/>
      <x:c r="E19" s="2"/>
      <x:c r="F19" s="2"/>
    </x:row>
    <x:row r="20" ht="24" customHeight="1">
      <x:c r="A20" s="2"/>
      <x:c r="B20" s="20"/>
      <x:c r="C20" s="20"/>
      <x:c r="D20" s="20"/>
      <x:c r="E20" s="2"/>
      <x:c r="F20" s="2"/>
    </x:row>
    <x:row r="21" ht="24" customHeight="1">
      <x:c r="A21" s="8" t="str">
        <x:v>90-day trial</x:v>
      </x:c>
      <x:c r="B21" s="20"/>
      <x:c r="C21" s="20"/>
      <x:c r="D21" s="20"/>
      <x:c r="E21" s="2"/>
      <x:c r="F21" s="2"/>
    </x:row>
    <x:row r="22" ht="24" customHeight="1">
      <x:c r="A22" s="2"/>
      <x:c r="B22" s="20"/>
      <x:c r="C22" s="20"/>
      <x:c r="D22" s="20"/>
      <x:c r="E22" s="2"/>
      <x:c r="F22" s="2" t="str">
        <x:v>Source: illustrative planning assumptions. Replace with quotes.</x:v>
      </x:c>
    </x:row>
    <x:row r="23" ht="24" customHeight="1">
      <x:c r="A23" s="15" t="str">
        <x:v>Activity / period</x:v>
      </x:c>
      <x:c r="B23" s="15" t="str">
        <x:v>Assumed units</x:v>
      </x:c>
      <x:c r="C23" s="15" t="str">
        <x:v>INR / unit</x:v>
      </x:c>
      <x:c r="D23" s="15" t="str">
        <x:v>Calculated INR</x:v>
      </x:c>
      <x:c r="E23" s="2"/>
      <x:c r="F23" s="2"/>
    </x:row>
    <x:row r="24" ht="24" customHeight="1">
      <x:c r="A24" s="2" t="str">
        <x:v>Evidence analyst (person-days)</x:v>
      </x:c>
      <x:c r="B24" s="24" t="n">
        <x:v>20</x:v>
      </x:c>
      <x:c r="C24" s="27" t="n">
        <x:v>1500</x:v>
      </x:c>
      <x:c r="D24" s="28" t="n">
        <x:f>IF(COUNT(B24:C24)=2,B24*C24,"n.a.")</x:f>
        <x:v>30000</x:v>
      </x:c>
      <x:c r="E24" s="2"/>
      <x:c r="F24" s="2" t="str">
        <x:v>Paid resource costs even when contributed in kind.</x:v>
      </x:c>
    </x:row>
    <x:row r="25" ht="24" customHeight="1">
      <x:c r="A25" s="2" t="str">
        <x:v>Prototype / handover (person-days)</x:v>
      </x:c>
      <x:c r="B25" s="24" t="n">
        <x:v>20</x:v>
      </x:c>
      <x:c r="C25" s="27" t="n">
        <x:v>2000</x:v>
      </x:c>
      <x:c r="D25" s="28" t="n">
        <x:f>IF(COUNT(B25:C25)=2,B25*C25,"n.a.")</x:f>
        <x:v>40000</x:v>
      </x:c>
      <x:c r="E25" s="2"/>
      <x:c r="F25" s="2" t="str">
        <x:v>Replace rates and scope after quotations and approval.</x:v>
      </x:c>
    </x:row>
    <x:row r="26" ht="24" customHeight="1">
      <x:c r="A26" s="2" t="str">
        <x:v>Independent fieldwork (person-days)</x:v>
      </x:c>
      <x:c r="B26" s="24" t="n">
        <x:v>20</x:v>
      </x:c>
      <x:c r="C26" s="27" t="n">
        <x:v>1000</x:v>
      </x:c>
      <x:c r="D26" s="28" t="n">
        <x:f>IF(COUNT(B26:C26)=2,B26*C26,"n.a.")</x:f>
        <x:v>20000</x:v>
      </x:c>
      <x:c r="E26" s="2"/>
      <x:c r="F26" s="2" t="str">
        <x:v>Tax / employer charges / equipment need confirmation.</x:v>
      </x:c>
    </x:row>
    <x:row r="27" ht="24" customHeight="1">
      <x:c r="A27" s="2" t="str">
        <x:v>Community review sessions</x:v>
      </x:c>
      <x:c r="B27" s="24" t="n">
        <x:v>4</x:v>
      </x:c>
      <x:c r="C27" s="27" t="n">
        <x:v>1500</x:v>
      </x:c>
      <x:c r="D27" s="28" t="n">
        <x:f>IF(COUNT(B27:C27)=2,B27*C27,"n.a.")</x:f>
        <x:v>6000</x:v>
      </x:c>
      <x:c r="E27" s="2"/>
      <x:c r="F27" s="2"/>
    </x:row>
    <x:row r="28" ht="24" customHeight="1">
      <x:c r="A28" s="2" t="str">
        <x:v>Local travel (trips)</x:v>
      </x:c>
      <x:c r="B28" s="24" t="n">
        <x:v>20</x:v>
      </x:c>
      <x:c r="C28" s="27" t="n">
        <x:v>250</x:v>
      </x:c>
      <x:c r="D28" s="28" t="n">
        <x:f>IF(COUNT(B28:C28)=2,B28*C28,"n.a.")</x:f>
        <x:v>5000</x:v>
      </x:c>
      <x:c r="E28" s="2"/>
      <x:c r="F28" s="2"/>
    </x:row>
    <x:row r="29" ht="24" customHeight="1">
      <x:c r="A29" s="2" t="str">
        <x:v>Hosting / storage (months)</x:v>
      </x:c>
      <x:c r="B29" s="24" t="n">
        <x:v>3</x:v>
      </x:c>
      <x:c r="C29" s="27" t="n">
        <x:v>1000</x:v>
      </x:c>
      <x:c r="D29" s="28" t="n">
        <x:f>IF(COUNT(B29:C29)=2,B29*C29,"n.a.")</x:f>
        <x:v>3000</x:v>
      </x:c>
      <x:c r="E29" s="2"/>
      <x:c r="F29" s="2"/>
    </x:row>
    <x:row r="30" ht="24" customHeight="1">
      <x:c r="A30" s="2" t="str">
        <x:v>Accessibility / security (person-days)</x:v>
      </x:c>
      <x:c r="B30" s="24" t="n">
        <x:v>2</x:v>
      </x:c>
      <x:c r="C30" s="27" t="n">
        <x:v>5000</x:v>
      </x:c>
      <x:c r="D30" s="28" t="n">
        <x:f>IF(COUNT(B30:C30)=2,B30*C30,"n.a.")</x:f>
        <x:v>10000</x:v>
      </x:c>
      <x:c r="E30" s="2"/>
      <x:c r="F30" s="2"/>
    </x:row>
    <x:row r="31" ht="24" customHeight="1">
      <x:c r="A31" s="2" t="str">
        <x:v>Documentation / training (person-days)</x:v>
      </x:c>
      <x:c r="B31" s="24" t="n">
        <x:v>4</x:v>
      </x:c>
      <x:c r="C31" s="27" t="n">
        <x:v>1500</x:v>
      </x:c>
      <x:c r="D31" s="28" t="n">
        <x:f>IF(COUNT(B31:C31)=2,B31*C31,"n.a.")</x:f>
        <x:v>6000</x:v>
      </x:c>
      <x:c r="E31" s="2"/>
      <x:c r="F31" s="2"/>
    </x:row>
    <x:row r="32" ht="24" customHeight="1">
      <x:c r="A32" s="18" t="str">
        <x:v>Trial subtotal</x:v>
      </x:c>
      <x:c r="B32" s="29"/>
      <x:c r="C32" s="29"/>
      <x:c r="D32" s="30" t="n">
        <x:f>IF(COUNT(D24:D31)=8,SUM(D24:D31),"n.a.")</x:f>
        <x:v>120000</x:v>
      </x:c>
      <x:c r="E32" s="2"/>
      <x:c r="F32" s="2"/>
    </x:row>
    <x:row r="33" ht="24" customHeight="1">
      <x:c r="A33" s="2" t="str">
        <x:v>Contingency rate / amount</x:v>
      </x:c>
      <x:c r="B33" s="31" t="n">
        <x:v>0.1</x:v>
      </x:c>
      <x:c r="C33" s="20"/>
      <x:c r="D33" s="28" t="n">
        <x:f>IF(AND(ISNUMBER(D32),ISNUMBER(B33)),D32*B33,"n.a.")</x:f>
        <x:v>12000</x:v>
      </x:c>
      <x:c r="E33" s="2"/>
      <x:c r="F33" s="2"/>
    </x:row>
    <x:row r="34" ht="24" customHeight="1">
      <x:c r="A34" s="18" t="str">
        <x:v>Total trial budget</x:v>
      </x:c>
      <x:c r="B34" s="29"/>
      <x:c r="C34" s="29"/>
      <x:c r="D34" s="30" t="n">
        <x:f>IF(COUNT(D32:D33)=2,SUM(D32:D33),"n.a.")</x:f>
        <x:v>132000</x:v>
      </x:c>
      <x:c r="E34" s="2"/>
      <x:c r="F34" s="2"/>
    </x:row>
    <x:row r="35" ht="24" customHeight="1">
      <x:c r="A35" s="2"/>
      <x:c r="B35" s="20"/>
      <x:c r="C35" s="20"/>
      <x:c r="D35" s="20"/>
      <x:c r="E35" s="2"/>
      <x:c r="F35" s="2"/>
    </x:row>
    <x:row r="36" ht="24" customHeight="1">
      <x:c r="A36" s="2"/>
      <x:c r="B36" s="20"/>
      <x:c r="C36" s="20"/>
      <x:c r="D36" s="20"/>
      <x:c r="E36" s="2"/>
      <x:c r="F36" s="2"/>
    </x:row>
    <x:row r="37" ht="24" customHeight="1">
      <x:c r="A37" s="8" t="str">
        <x:v>Annual continuation</x:v>
      </x:c>
      <x:c r="B37" s="20"/>
      <x:c r="C37" s="20"/>
      <x:c r="D37" s="20"/>
      <x:c r="E37" s="2"/>
      <x:c r="F37" s="2"/>
    </x:row>
    <x:row r="38" ht="24" customHeight="1">
      <x:c r="A38" s="15" t="str">
        <x:v>Activity / period</x:v>
      </x:c>
      <x:c r="B38" s="15" t="str">
        <x:v>Assumed units</x:v>
      </x:c>
      <x:c r="C38" s="15" t="str">
        <x:v>INR / unit</x:v>
      </x:c>
      <x:c r="D38" s="15" t="str">
        <x:v>Calculated INR</x:v>
      </x:c>
      <x:c r="E38" s="2"/>
      <x:c r="F38" s="2"/>
    </x:row>
    <x:row r="39" ht="24" customHeight="1">
      <x:c r="A39" s="2" t="str">
        <x:v>Operator review (annual hours)</x:v>
      </x:c>
      <x:c r="B39" s="24" t="n">
        <x:v>208</x:v>
      </x:c>
      <x:c r="C39" s="27" t="n">
        <x:v>300</x:v>
      </x:c>
      <x:c r="D39" s="28" t="n">
        <x:f>IF(COUNT(B39:C39)=2,B39*C39,"n.a.")</x:f>
        <x:v>62400</x:v>
      </x:c>
      <x:c r="E39" s="2"/>
      <x:c r="F39" s="2" t="str">
        <x:v>208 hours assumes 4 hours/week for 52 weeks.</x:v>
      </x:c>
    </x:row>
    <x:row r="40" ht="24" customHeight="1">
      <x:c r="A40" s="2" t="str">
        <x:v>Independent checks (annual visits)</x:v>
      </x:c>
      <x:c r="B40" s="24" t="n">
        <x:v>120</x:v>
      </x:c>
      <x:c r="C40" s="27" t="n">
        <x:v>400</x:v>
      </x:c>
      <x:c r="D40" s="28" t="n">
        <x:f>IF(COUNT(B40:C40)=2,B40*C40,"n.a.")</x:f>
        <x:v>48000</x:v>
      </x:c>
      <x:c r="E40" s="2"/>
      <x:c r="F40" s="2" t="str">
        <x:v>120 visits assumes 10/month. Verify field workload.</x:v>
      </x:c>
    </x:row>
    <x:row r="41" ht="24" customHeight="1">
      <x:c r="A41" s="2" t="str">
        <x:v>Hosting / storage (months)</x:v>
      </x:c>
      <x:c r="B41" s="24" t="n">
        <x:v>12</x:v>
      </x:c>
      <x:c r="C41" s="27" t="n">
        <x:v>1000</x:v>
      </x:c>
      <x:c r="D41" s="28" t="n">
        <x:f>IF(COUNT(B41:C41)=2,B41*C41,"n.a.")</x:f>
        <x:v>12000</x:v>
      </x:c>
      <x:c r="E41" s="2"/>
      <x:c r="F41" s="2"/>
    </x:row>
    <x:row r="42" ht="24" customHeight="1">
      <x:c r="A42" s="2" t="str">
        <x:v>Software maintenance (hours)</x:v>
      </x:c>
      <x:c r="B42" s="24" t="n">
        <x:v>24</x:v>
      </x:c>
      <x:c r="C42" s="27" t="n">
        <x:v>800</x:v>
      </x:c>
      <x:c r="D42" s="28" t="n">
        <x:f>IF(COUNT(B42:C42)=2,B42*C42,"n.a.")</x:f>
        <x:v>19200</x:v>
      </x:c>
      <x:c r="E42" s="2"/>
      <x:c r="F42" s="2" t="str">
        <x:v>Production security / integration need separate estimates.</x:v>
      </x:c>
    </x:row>
    <x:row r="43" ht="24" customHeight="1">
      <x:c r="A43" s="2" t="str">
        <x:v>Refresher sessions</x:v>
      </x:c>
      <x:c r="B43" s="24" t="n">
        <x:v>4</x:v>
      </x:c>
      <x:c r="C43" s="27" t="n">
        <x:v>1500</x:v>
      </x:c>
      <x:c r="D43" s="28" t="n">
        <x:f>IF(COUNT(B43:C43)=2,B43*C43,"n.a.")</x:f>
        <x:v>6000</x:v>
      </x:c>
      <x:c r="E43" s="2"/>
      <x:c r="F43" s="2"/>
    </x:row>
    <x:row r="44" ht="24" customHeight="1">
      <x:c r="A44" s="18" t="str">
        <x:v>Annual subtotal</x:v>
      </x:c>
      <x:c r="B44" s="29"/>
      <x:c r="C44" s="29"/>
      <x:c r="D44" s="30" t="n">
        <x:f>IF(COUNT(D39:D43)=5,SUM(D39:D43),"n.a.")</x:f>
        <x:v>147600</x:v>
      </x:c>
      <x:c r="E44" s="2"/>
      <x:c r="F44" s="2"/>
    </x:row>
    <x:row r="45" ht="24" customHeight="1">
      <x:c r="A45" s="2" t="str">
        <x:v>Contingency rate / amount</x:v>
      </x:c>
      <x:c r="B45" s="31" t="n">
        <x:v>0.1</x:v>
      </x:c>
      <x:c r="C45" s="20"/>
      <x:c r="D45" s="28" t="n">
        <x:f>IF(AND(ISNUMBER(D44),ISNUMBER(B45)),D44*B45,"n.a.")</x:f>
        <x:v>14760</x:v>
      </x:c>
      <x:c r="E45" s="2"/>
      <x:c r="F45" s="2"/>
    </x:row>
    <x:row r="46" ht="24" customHeight="1">
      <x:c r="A46" s="18" t="str">
        <x:v>Annual continuation total</x:v>
      </x:c>
      <x:c r="B46" s="29"/>
      <x:c r="C46" s="29"/>
      <x:c r="D46" s="30" t="n">
        <x:f>IF(COUNT(D44:D45)=2,SUM(D44:D45),"n.a.")</x:f>
        <x:v>162360</x:v>
      </x:c>
      <x:c r="E46" s="2"/>
      <x:c r="F46" s="2" t="str">
        <x:v>No recurring payer or appropriation has been secured.</x:v>
      </x:c>
    </x:row>
    <x:row r="47" ht="24" customHeight="1">
      <x:c r="A47" s="2"/>
      <x:c r="B47" s="20"/>
      <x:c r="C47" s="20"/>
      <x:c r="D47" s="20"/>
      <x:c r="E47" s="2"/>
      <x:c r="F47" s="2"/>
    </x:row>
    <x:row r="48" ht="24" customHeight="1">
      <x:c r="A48" s="2"/>
      <x:c r="B48" s="20"/>
      <x:c r="C48" s="20"/>
      <x:c r="D48" s="20"/>
      <x:c r="E48" s="2"/>
      <x:c r="F48" s="2"/>
    </x:row>
    <x:row r="49" ht="24" customHeight="1">
      <x:c r="A49" s="8" t="str">
        <x:v>Funding and quotations</x:v>
      </x:c>
      <x:c r="B49" s="20"/>
      <x:c r="C49" s="20"/>
      <x:c r="D49" s="20"/>
      <x:c r="E49" s="2"/>
      <x:c r="F49" s="2" t="str">
        <x:v>Candidate: approved trial grant/work order; none committed.</x:v>
      </x:c>
    </x:row>
    <x:row r="50" ht="24" customHeight="1">
      <x:c r="A50" s="2"/>
      <x:c r="B50" s="20"/>
      <x:c r="C50" s="20"/>
      <x:c r="D50" s="20"/>
      <x:c r="E50" s="2"/>
      <x:c r="F50" s="2" t="str">
        <x:v>Award conditions: https://sevainnovationchallenge.in/</x:v>
      </x:c>
    </x:row>
    <x:row r="51" ht="24" customHeight="1">
      <x:c r="A51" s="2"/>
      <x:c r="B51" s="20"/>
      <x:c r="C51" s="20"/>
      <x:c r="D51" s="20"/>
      <x:c r="E51" s="2"/>
      <x:c r="F51" s="2" t="str">
        <x:v>Model notes: submission/financial_model.md</x:v>
      </x:c>
    </x:row>
    <x:row r="52" ht="24" customHeight="1">
      <x:c r="A52" s="2"/>
      <x:c r="B52" s="20"/>
      <x:c r="C52" s="20"/>
      <x:c r="D52" s="20"/>
      <x:c r="E52" s="2"/>
      <x:c r="F52" s="2" t="str">
        <x:v>Artifact recalculation checked. Native Excel not exercised.</x:v>
      </x:c>
    </x:row>
  </x:sheetData>
  <x:dataValidations count="2">
    <x:dataValidation type="whole" operator="greaterThan" sqref="B13:B14">
      <x:formula1>0</x:formula1>
    </x:dataValidation>
    <x:dataValidation type="decimal" operator="greaterThanOrEqual" sqref="B15:B17">
      <x:formula1>0</x:formula1>
    </x:dataValidation>
  </x:dataValidations>
  <x:pageMargins left="0.7" right="0.7" top="0.75" bottom="0.75" header="0.3" footer="0.3"/>
</x:worksheet>
</file>